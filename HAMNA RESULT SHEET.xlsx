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4" sheetId="4" r:id="rId1"/>
    <sheet name="Sheet2" sheetId="2" r:id="rId2"/>
  </sheets>
  <calcPr calcId="124519"/>
  <pivotCaches>
    <pivotCache cacheId="10" r:id="rId3"/>
  </pivotCaches>
</workbook>
</file>

<file path=xl/calcChain.xml><?xml version="1.0" encoding="utf-8"?>
<calcChain xmlns="http://schemas.openxmlformats.org/spreadsheetml/2006/main">
  <c r="P14" i="2"/>
  <c r="S14" s="1"/>
  <c r="Q21"/>
  <c r="P5"/>
  <c r="Q5" s="1"/>
  <c r="R5" s="1"/>
  <c r="P6"/>
  <c r="Q6" s="1"/>
  <c r="R6" s="1"/>
  <c r="P7"/>
  <c r="Q7" s="1"/>
  <c r="R7" s="1"/>
  <c r="P8"/>
  <c r="S8" s="1"/>
  <c r="P9"/>
  <c r="Q9" s="1"/>
  <c r="R9" s="1"/>
  <c r="P10"/>
  <c r="Q10" s="1"/>
  <c r="R10" s="1"/>
  <c r="P11"/>
  <c r="Q11" s="1"/>
  <c r="R11" s="1"/>
  <c r="P12"/>
  <c r="S12" s="1"/>
  <c r="P13"/>
  <c r="Q13" s="1"/>
  <c r="R13" s="1"/>
  <c r="P4"/>
  <c r="Q14" l="1"/>
  <c r="R14" s="1"/>
  <c r="Q19"/>
  <c r="Q12"/>
  <c r="R12" s="1"/>
  <c r="S5"/>
  <c r="S6"/>
  <c r="S10"/>
  <c r="Q18"/>
  <c r="S4"/>
  <c r="S11"/>
  <c r="S13"/>
  <c r="Q4"/>
  <c r="R4" s="1"/>
  <c r="Q22" s="1"/>
  <c r="Q8"/>
  <c r="R8" s="1"/>
  <c r="Q20"/>
  <c r="S7"/>
  <c r="S9"/>
  <c r="Q24" l="1"/>
  <c r="Q23"/>
</calcChain>
</file>

<file path=xl/sharedStrings.xml><?xml version="1.0" encoding="utf-8"?>
<sst xmlns="http://schemas.openxmlformats.org/spreadsheetml/2006/main" count="71" uniqueCount="48">
  <si>
    <t>NAME</t>
  </si>
  <si>
    <t>DATE</t>
  </si>
  <si>
    <t>CLASS</t>
  </si>
  <si>
    <t>ROLL NO</t>
  </si>
  <si>
    <t>CHEMISTRY</t>
  </si>
  <si>
    <t>PHYSICS</t>
  </si>
  <si>
    <t>MATHS</t>
  </si>
  <si>
    <t>URDU</t>
  </si>
  <si>
    <t>ENGLISH</t>
  </si>
  <si>
    <t>BIOLOGY</t>
  </si>
  <si>
    <t>TOTAL MARKS</t>
  </si>
  <si>
    <t>OBTAINED MARKS</t>
  </si>
  <si>
    <t>PERCENTAGE</t>
  </si>
  <si>
    <t>GRADE</t>
  </si>
  <si>
    <t>REMARKS</t>
  </si>
  <si>
    <t>ISLAMIAT</t>
  </si>
  <si>
    <t>HAMNA</t>
  </si>
  <si>
    <t>HANIYA</t>
  </si>
  <si>
    <t>USMAN</t>
  </si>
  <si>
    <t>ALI</t>
  </si>
  <si>
    <t>ADULLAH</t>
  </si>
  <si>
    <t>ZAID</t>
  </si>
  <si>
    <t>ZAIN</t>
  </si>
  <si>
    <t>AMAN</t>
  </si>
  <si>
    <t>URWA</t>
  </si>
  <si>
    <t>ADIL</t>
  </si>
  <si>
    <t xml:space="preserve"> BILAL</t>
  </si>
  <si>
    <t>IX</t>
  </si>
  <si>
    <t xml:space="preserve"> IX</t>
  </si>
  <si>
    <t>FORMULAS</t>
  </si>
  <si>
    <t>AVERAGE</t>
  </si>
  <si>
    <t>MIN</t>
  </si>
  <si>
    <t>MAX</t>
  </si>
  <si>
    <t>VLOOKUP</t>
  </si>
  <si>
    <t>SUMIF</t>
  </si>
  <si>
    <t>COUNTIF</t>
  </si>
  <si>
    <t>COUNTA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</si>
  <si>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</si>
  <si>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Row Labels</t>
  </si>
  <si>
    <t>Grand Total</t>
  </si>
  <si>
    <t>Sum of OBTAINED MARKS</t>
  </si>
  <si>
    <t>Values</t>
  </si>
  <si>
    <t>Sum of TOTAL MARKS</t>
  </si>
  <si>
    <t>(All)</t>
  </si>
  <si>
    <t>Average of PERCENTAGE</t>
  </si>
  <si>
    <t>"RESULT SHEET"</t>
  </si>
  <si>
    <t>FINAL PROJECT</t>
  </si>
  <si>
    <t>AUTOMATED SPREADSHEET REPORT BUILDER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</si>
</sst>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u val="double"/>
      <sz val="18"/>
      <color theme="1"/>
      <name val="Arial Black"/>
      <family val="2"/>
    </font>
    <font>
      <sz val="11"/>
      <color theme="1"/>
      <name val="Agency FB"/>
      <family val="2"/>
    </font>
    <font>
      <sz val="12"/>
      <color theme="1"/>
      <name val="Agency FB"/>
      <family val="2"/>
    </font>
    <font>
      <b/>
      <sz val="12"/>
      <color theme="1"/>
      <name val="Arabic Typesetting"/>
      <family val="4"/>
    </font>
    <font>
      <i/>
      <sz val="11"/>
      <color theme="1"/>
      <name val="Calibri"/>
      <family val="2"/>
      <scheme val="minor"/>
    </font>
    <font>
      <i/>
      <u val="double"/>
      <sz val="18"/>
      <color theme="3" tint="-0.499984740745262"/>
      <name val="Agency FB"/>
      <family val="2"/>
    </font>
    <font>
      <i/>
      <u val="double"/>
      <sz val="28"/>
      <color theme="1"/>
      <name val="Algerian"/>
      <family val="5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9" borderId="0" xfId="0" applyFill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14" fontId="1" fillId="7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10" fontId="1" fillId="7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0" borderId="0" xfId="0" applyFont="1"/>
    <xf numFmtId="0" fontId="0" fillId="6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7" fillId="8" borderId="0" xfId="0" applyFont="1" applyFill="1" applyBorder="1" applyAlignment="1">
      <alignment horizontal="center"/>
    </xf>
    <xf numFmtId="0" fontId="7" fillId="8" borderId="0" xfId="0" applyNumberFormat="1" applyFont="1" applyFill="1" applyBorder="1" applyAlignment="1">
      <alignment horizontal="center"/>
    </xf>
    <xf numFmtId="10" fontId="7" fillId="8" borderId="0" xfId="0" applyNumberFormat="1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</cellXfs>
  <cellStyles count="1">
    <cellStyle name="Normal" xfId="0" builtinId="0"/>
  </cellStyles>
  <dxfs count="50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Agency FB"/>
        <scheme val="none"/>
      </font>
    </dxf>
    <dxf>
      <font>
        <name val="Agency FB"/>
        <scheme val="none"/>
      </font>
    </dxf>
    <dxf>
      <font>
        <name val="Agency FB"/>
        <scheme val="none"/>
      </font>
    </dxf>
    <dxf>
      <font>
        <name val="Agency FB"/>
        <scheme val="none"/>
      </font>
    </dxf>
    <dxf>
      <font>
        <name val="Agency FB"/>
        <scheme val="none"/>
      </font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alignment horizontal="center" readingOrder="0"/>
    </dxf>
    <dxf>
      <alignment horizontal="center" readingOrder="0"/>
    </dxf>
    <dxf>
      <font>
        <i/>
      </font>
    </dxf>
    <dxf>
      <font>
        <i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i/>
      </font>
    </dxf>
    <dxf>
      <font>
        <i/>
      </font>
    </dxf>
    <dxf>
      <alignment horizontal="center" readingOrder="0"/>
    </dxf>
    <dxf>
      <alignment horizontal="center" readingOrder="0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name val="Agency FB"/>
        <scheme val="none"/>
      </font>
    </dxf>
    <dxf>
      <font>
        <name val="Agency FB"/>
        <scheme val="none"/>
      </font>
    </dxf>
    <dxf>
      <font>
        <name val="Agency FB"/>
        <scheme val="none"/>
      </font>
    </dxf>
    <dxf>
      <font>
        <name val="Agency FB"/>
        <scheme val="none"/>
      </font>
    </dxf>
    <dxf>
      <font>
        <name val="Agency FB"/>
        <scheme val="none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9"/>
  <c:pivotSource>
    <c:name>[HAMNA RESULT SHEET.xlsx]Sheet4!PivotTable1</c:name>
    <c:fmtId val="0"/>
  </c:pivotSource>
  <c:chart>
    <c:pivotFmts>
      <c:pivotFmt>
        <c:idx val="0"/>
      </c:pivotFmt>
      <c:pivotFmt>
        <c:idx val="1"/>
      </c:pivotFmt>
      <c:pivotFmt>
        <c:idx val="2"/>
      </c:pivotFmt>
    </c:pivotFmts>
    <c:plotArea>
      <c:layout/>
      <c:barChart>
        <c:barDir val="col"/>
        <c:grouping val="stacked"/>
        <c:ser>
          <c:idx val="0"/>
          <c:order val="0"/>
          <c:tx>
            <c:strRef>
              <c:f>Sheet4!$B$4:$B$5</c:f>
              <c:strCache>
                <c:ptCount val="1"/>
                <c:pt idx="0">
                  <c:v>Sum of TOTAL MARKS</c:v>
                </c:pt>
              </c:strCache>
            </c:strRef>
          </c:tx>
          <c:cat>
            <c:strRef>
              <c:f>Sheet4!$A$6:$A$17</c:f>
              <c:strCache>
                <c:ptCount val="11"/>
                <c:pt idx="0">
                  <c:v> BILAL</c:v>
                </c:pt>
                <c:pt idx="1">
                  <c:v>ADIL</c:v>
                </c:pt>
                <c:pt idx="2">
                  <c:v>ADULLAH</c:v>
                </c:pt>
                <c:pt idx="3">
                  <c:v>ALI</c:v>
                </c:pt>
                <c:pt idx="4">
                  <c:v>AMAN</c:v>
                </c:pt>
                <c:pt idx="5">
                  <c:v>HAMNA</c:v>
                </c:pt>
                <c:pt idx="6">
                  <c:v>HANIYA</c:v>
                </c:pt>
                <c:pt idx="7">
                  <c:v>URWA</c:v>
                </c:pt>
                <c:pt idx="8">
                  <c:v>USMAN</c:v>
                </c:pt>
                <c:pt idx="9">
                  <c:v>ZAID</c:v>
                </c:pt>
                <c:pt idx="10">
                  <c:v>ZAIN</c:v>
                </c:pt>
              </c:strCache>
            </c:strRef>
          </c:cat>
          <c:val>
            <c:numRef>
              <c:f>Sheet4!$B$6:$B$17</c:f>
              <c:numCache>
                <c:formatCode>General</c:formatCode>
                <c:ptCount val="11"/>
                <c:pt idx="0">
                  <c:v>700</c:v>
                </c:pt>
                <c:pt idx="1">
                  <c:v>700</c:v>
                </c:pt>
                <c:pt idx="2">
                  <c:v>700</c:v>
                </c:pt>
                <c:pt idx="3">
                  <c:v>700</c:v>
                </c:pt>
                <c:pt idx="4">
                  <c:v>700</c:v>
                </c:pt>
                <c:pt idx="5">
                  <c:v>700</c:v>
                </c:pt>
                <c:pt idx="6">
                  <c:v>700</c:v>
                </c:pt>
                <c:pt idx="7">
                  <c:v>700</c:v>
                </c:pt>
                <c:pt idx="8">
                  <c:v>700</c:v>
                </c:pt>
                <c:pt idx="9">
                  <c:v>700</c:v>
                </c:pt>
                <c:pt idx="10">
                  <c:v>700</c:v>
                </c:pt>
              </c:numCache>
            </c:numRef>
          </c:val>
        </c:ser>
        <c:ser>
          <c:idx val="1"/>
          <c:order val="1"/>
          <c:tx>
            <c:strRef>
              <c:f>Sheet4!$C$4:$C$5</c:f>
              <c:strCache>
                <c:ptCount val="1"/>
                <c:pt idx="0">
                  <c:v>Sum of OBTAINED MARKS</c:v>
                </c:pt>
              </c:strCache>
            </c:strRef>
          </c:tx>
          <c:cat>
            <c:strRef>
              <c:f>Sheet4!$A$6:$A$17</c:f>
              <c:strCache>
                <c:ptCount val="11"/>
                <c:pt idx="0">
                  <c:v> BILAL</c:v>
                </c:pt>
                <c:pt idx="1">
                  <c:v>ADIL</c:v>
                </c:pt>
                <c:pt idx="2">
                  <c:v>ADULLAH</c:v>
                </c:pt>
                <c:pt idx="3">
                  <c:v>ALI</c:v>
                </c:pt>
                <c:pt idx="4">
                  <c:v>AMAN</c:v>
                </c:pt>
                <c:pt idx="5">
                  <c:v>HAMNA</c:v>
                </c:pt>
                <c:pt idx="6">
                  <c:v>HANIYA</c:v>
                </c:pt>
                <c:pt idx="7">
                  <c:v>URWA</c:v>
                </c:pt>
                <c:pt idx="8">
                  <c:v>USMAN</c:v>
                </c:pt>
                <c:pt idx="9">
                  <c:v>ZAID</c:v>
                </c:pt>
                <c:pt idx="10">
                  <c:v>ZAIN</c:v>
                </c:pt>
              </c:strCache>
            </c:strRef>
          </c:cat>
          <c:val>
            <c:numRef>
              <c:f>Sheet4!$C$6:$C$17</c:f>
              <c:numCache>
                <c:formatCode>General</c:formatCode>
                <c:ptCount val="11"/>
                <c:pt idx="0">
                  <c:v>360</c:v>
                </c:pt>
                <c:pt idx="1">
                  <c:v>378</c:v>
                </c:pt>
                <c:pt idx="2">
                  <c:v>477</c:v>
                </c:pt>
                <c:pt idx="3">
                  <c:v>390</c:v>
                </c:pt>
                <c:pt idx="4">
                  <c:v>366</c:v>
                </c:pt>
                <c:pt idx="5">
                  <c:v>422</c:v>
                </c:pt>
                <c:pt idx="6">
                  <c:v>620</c:v>
                </c:pt>
                <c:pt idx="7">
                  <c:v>574</c:v>
                </c:pt>
                <c:pt idx="8">
                  <c:v>596.5</c:v>
                </c:pt>
                <c:pt idx="9">
                  <c:v>536</c:v>
                </c:pt>
                <c:pt idx="10">
                  <c:v>578</c:v>
                </c:pt>
              </c:numCache>
            </c:numRef>
          </c:val>
        </c:ser>
        <c:ser>
          <c:idx val="2"/>
          <c:order val="2"/>
          <c:tx>
            <c:strRef>
              <c:f>Sheet4!$D$4:$D$5</c:f>
              <c:strCache>
                <c:ptCount val="1"/>
                <c:pt idx="0">
                  <c:v>Average of PERCENTAGE</c:v>
                </c:pt>
              </c:strCache>
            </c:strRef>
          </c:tx>
          <c:cat>
            <c:strRef>
              <c:f>Sheet4!$A$6:$A$17</c:f>
              <c:strCache>
                <c:ptCount val="11"/>
                <c:pt idx="0">
                  <c:v> BILAL</c:v>
                </c:pt>
                <c:pt idx="1">
                  <c:v>ADIL</c:v>
                </c:pt>
                <c:pt idx="2">
                  <c:v>ADULLAH</c:v>
                </c:pt>
                <c:pt idx="3">
                  <c:v>ALI</c:v>
                </c:pt>
                <c:pt idx="4">
                  <c:v>AMAN</c:v>
                </c:pt>
                <c:pt idx="5">
                  <c:v>HAMNA</c:v>
                </c:pt>
                <c:pt idx="6">
                  <c:v>HANIYA</c:v>
                </c:pt>
                <c:pt idx="7">
                  <c:v>URWA</c:v>
                </c:pt>
                <c:pt idx="8">
                  <c:v>USMAN</c:v>
                </c:pt>
                <c:pt idx="9">
                  <c:v>ZAID</c:v>
                </c:pt>
                <c:pt idx="10">
                  <c:v>ZAIN</c:v>
                </c:pt>
              </c:strCache>
            </c:strRef>
          </c:cat>
          <c:val>
            <c:numRef>
              <c:f>Sheet4!$D$6:$D$17</c:f>
              <c:numCache>
                <c:formatCode>0.00%</c:formatCode>
                <c:ptCount val="11"/>
                <c:pt idx="0">
                  <c:v>0.51428571428571423</c:v>
                </c:pt>
                <c:pt idx="1">
                  <c:v>0.54</c:v>
                </c:pt>
                <c:pt idx="2">
                  <c:v>0.68142857142857138</c:v>
                </c:pt>
                <c:pt idx="3">
                  <c:v>0.55714285714285716</c:v>
                </c:pt>
                <c:pt idx="4">
                  <c:v>0.52285714285714291</c:v>
                </c:pt>
                <c:pt idx="5">
                  <c:v>0.60285714285714287</c:v>
                </c:pt>
                <c:pt idx="6">
                  <c:v>0.88571428571428568</c:v>
                </c:pt>
                <c:pt idx="7">
                  <c:v>0.82</c:v>
                </c:pt>
                <c:pt idx="8">
                  <c:v>0.85214285714285709</c:v>
                </c:pt>
                <c:pt idx="9">
                  <c:v>0.76571428571428568</c:v>
                </c:pt>
                <c:pt idx="10">
                  <c:v>0.82571428571428573</c:v>
                </c:pt>
              </c:numCache>
            </c:numRef>
          </c:val>
        </c:ser>
        <c:overlap val="100"/>
        <c:axId val="140738944"/>
        <c:axId val="140740480"/>
      </c:barChart>
      <c:catAx>
        <c:axId val="140738944"/>
        <c:scaling>
          <c:orientation val="minMax"/>
        </c:scaling>
        <c:axPos val="b"/>
        <c:tickLblPos val="nextTo"/>
        <c:crossAx val="140740480"/>
        <c:crosses val="autoZero"/>
        <c:auto val="1"/>
        <c:lblAlgn val="ctr"/>
        <c:lblOffset val="100"/>
      </c:catAx>
      <c:valAx>
        <c:axId val="140740480"/>
        <c:scaling>
          <c:orientation val="minMax"/>
        </c:scaling>
        <c:axPos val="l"/>
        <c:majorGridlines/>
        <c:numFmt formatCode="General" sourceLinked="1"/>
        <c:tickLblPos val="nextTo"/>
        <c:crossAx val="140738944"/>
        <c:crosses val="autoZero"/>
        <c:crossBetween val="between"/>
      </c:valAx>
    </c:plotArea>
    <c:legend>
      <c:legendPos val="r"/>
      <c:layout/>
    </c:legend>
    <c:plotVisOnly val="1"/>
  </c:chart>
  <c:spPr>
    <a:blipFill>
      <a:blip xmlns:r="http://schemas.openxmlformats.org/officeDocument/2006/relationships" r:embed="rId1"/>
      <a:tile tx="0" ty="0" sx="100000" sy="100000" flip="none" algn="tl"/>
    </a:blipFill>
    <a:ln w="76200" cap="flat" cmpd="sng" algn="ctr">
      <a:solidFill>
        <a:schemeClr val="accent5"/>
      </a:solidFill>
      <a:prstDash val="solid"/>
    </a:ln>
    <a:effectLst>
      <a:glow rad="228600">
        <a:schemeClr val="accent2">
          <a:satMod val="175000"/>
          <a:alpha val="40000"/>
        </a:schemeClr>
      </a:glow>
      <a:innerShdw blurRad="114300">
        <a:prstClr val="black"/>
      </a:innerShdw>
      <a:softEdge rad="127000"/>
    </a:effectLst>
  </c:spPr>
  <c:txPr>
    <a:bodyPr/>
    <a:lstStyle/>
    <a:p>
      <a:pPr>
        <a:defRPr>
          <a:ln>
            <a:solidFill>
              <a:srgbClr val="002060"/>
            </a:solidFill>
          </a:ln>
          <a:solidFill>
            <a:schemeClr val="tx1">
              <a:lumMod val="95000"/>
              <a:lumOff val="5000"/>
            </a:schemeClr>
          </a:solidFill>
          <a:effectLst>
            <a:glow rad="63500">
              <a:schemeClr val="accent4">
                <a:satMod val="175000"/>
                <a:alpha val="40000"/>
              </a:schemeClr>
            </a:glow>
          </a:effectLst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9</xdr:row>
      <xdr:rowOff>171449</xdr:rowOff>
    </xdr:from>
    <xdr:to>
      <xdr:col>10</xdr:col>
      <xdr:colOff>609599</xdr:colOff>
      <xdr:row>29</xdr:row>
      <xdr:rowOff>104774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049.899665046294" createdVersion="3" refreshedVersion="3" minRefreshableVersion="3" recordCount="11">
  <cacheSource type="worksheet">
    <worksheetSource ref="D3:S14" sheet="Sheet2"/>
  </cacheSource>
  <cacheFields count="16">
    <cacheField name="NAME" numFmtId="0">
      <sharedItems count="11">
        <s v="HAMNA"/>
        <s v="HANIYA"/>
        <s v="USMAN"/>
        <s v="ALI"/>
        <s v="ADULLAH"/>
        <s v="AMAN"/>
        <s v="ZAID"/>
        <s v="ZAIN"/>
        <s v="URWA"/>
        <s v="ADIL"/>
        <s v=" BILAL"/>
      </sharedItems>
    </cacheField>
    <cacheField name="DATE" numFmtId="14">
      <sharedItems containsSemiMixedTypes="0" containsNonDate="0" containsDate="1" containsString="0" minDate="2026-01-01T00:00:00" maxDate="2026-01-02T00:00:00"/>
    </cacheField>
    <cacheField name="CLASS" numFmtId="0">
      <sharedItems count="2">
        <s v=" IX"/>
        <s v="IX"/>
      </sharedItems>
    </cacheField>
    <cacheField name="ROLL NO" numFmtId="0">
      <sharedItems containsSemiMixedTypes="0" containsString="0" containsNumber="1" containsInteger="1" minValue="4210" maxValue="4220"/>
    </cacheField>
    <cacheField name="CHEMISTRY" numFmtId="0">
      <sharedItems containsSemiMixedTypes="0" containsString="0" containsNumber="1" containsInteger="1" minValue="23" maxValue="99"/>
    </cacheField>
    <cacheField name="PHYSICS" numFmtId="0">
      <sharedItems containsSemiMixedTypes="0" containsString="0" containsNumber="1" containsInteger="1" minValue="25" maxValue="82"/>
    </cacheField>
    <cacheField name="MATHS" numFmtId="0">
      <sharedItems containsSemiMixedTypes="0" containsString="0" containsNumber="1" containsInteger="1" minValue="44" maxValue="89"/>
    </cacheField>
    <cacheField name="URDU" numFmtId="0">
      <sharedItems containsSemiMixedTypes="0" containsString="0" containsNumber="1" containsInteger="1" minValue="23" maxValue="94"/>
    </cacheField>
    <cacheField name="ISLAMIAT" numFmtId="0">
      <sharedItems containsSemiMixedTypes="0" containsString="0" containsNumber="1" containsInteger="1" minValue="25" maxValue="90"/>
    </cacheField>
    <cacheField name="BIOLOGY" numFmtId="0">
      <sharedItems containsSemiMixedTypes="0" containsString="0" containsNumber="1" containsInteger="1" minValue="23" maxValue="98"/>
    </cacheField>
    <cacheField name="ENGLISH" numFmtId="0">
      <sharedItems containsSemiMixedTypes="0" containsString="0" containsNumber="1" minValue="44" maxValue="97"/>
    </cacheField>
    <cacheField name="TOTAL MARKS" numFmtId="0">
      <sharedItems containsSemiMixedTypes="0" containsString="0" containsNumber="1" containsInteger="1" minValue="700" maxValue="700"/>
    </cacheField>
    <cacheField name="OBTAINED MARKS" numFmtId="0">
      <sharedItems containsSemiMixedTypes="0" containsString="0" containsNumber="1" minValue="360" maxValue="620"/>
    </cacheField>
    <cacheField name="PERCENTAGE" numFmtId="10">
      <sharedItems containsSemiMixedTypes="0" containsString="0" containsNumber="1" minValue="0.51428571428571423" maxValue="0.88571428571428568"/>
    </cacheField>
    <cacheField name="GRADE" numFmtId="0">
      <sharedItems/>
    </cacheField>
    <cacheField name="REMARKS" numFmtId="0">
      <sharedItems count="2">
        <s v="PASS"/>
        <s v="FAIL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x v="0"/>
    <d v="2026-01-01T00:00:00"/>
    <x v="0"/>
    <n v="4210"/>
    <n v="55"/>
    <n v="45"/>
    <n v="77"/>
    <n v="87"/>
    <n v="25"/>
    <n v="89"/>
    <n v="44"/>
    <n v="700"/>
    <n v="422"/>
    <n v="0.60285714285714287"/>
    <s v="C"/>
    <x v="0"/>
  </r>
  <r>
    <x v="1"/>
    <d v="2026-01-01T00:00:00"/>
    <x v="1"/>
    <n v="4211"/>
    <n v="88"/>
    <n v="78"/>
    <n v="88"/>
    <n v="84"/>
    <n v="87"/>
    <n v="98"/>
    <n v="97"/>
    <n v="700"/>
    <n v="620"/>
    <n v="0.88571428571428568"/>
    <s v="A+"/>
    <x v="0"/>
  </r>
  <r>
    <x v="2"/>
    <d v="2026-01-01T00:00:00"/>
    <x v="1"/>
    <n v="4212"/>
    <n v="99"/>
    <n v="82"/>
    <n v="74"/>
    <n v="89"/>
    <n v="90"/>
    <n v="90"/>
    <n v="72.5"/>
    <n v="700"/>
    <n v="596.5"/>
    <n v="0.85214285714285709"/>
    <s v="A+"/>
    <x v="0"/>
  </r>
  <r>
    <x v="3"/>
    <d v="2026-01-01T00:00:00"/>
    <x v="1"/>
    <n v="4213"/>
    <n v="43"/>
    <n v="57"/>
    <n v="83"/>
    <n v="56"/>
    <n v="54"/>
    <n v="23"/>
    <n v="74"/>
    <n v="700"/>
    <n v="390"/>
    <n v="0.55714285714285716"/>
    <s v="C"/>
    <x v="1"/>
  </r>
  <r>
    <x v="4"/>
    <d v="2026-01-01T00:00:00"/>
    <x v="1"/>
    <n v="4214"/>
    <n v="23"/>
    <n v="75"/>
    <n v="85"/>
    <n v="67"/>
    <n v="89"/>
    <n v="54"/>
    <n v="84"/>
    <n v="700"/>
    <n v="477"/>
    <n v="0.68142857142857138"/>
    <s v="C"/>
    <x v="0"/>
  </r>
  <r>
    <x v="5"/>
    <d v="2026-01-01T00:00:00"/>
    <x v="1"/>
    <n v="4215"/>
    <n v="24"/>
    <n v="25"/>
    <n v="66"/>
    <n v="76"/>
    <n v="33"/>
    <n v="85"/>
    <n v="57"/>
    <n v="700"/>
    <n v="366"/>
    <n v="0.52285714285714291"/>
    <s v="C"/>
    <x v="1"/>
  </r>
  <r>
    <x v="6"/>
    <d v="2026-01-01T00:00:00"/>
    <x v="1"/>
    <n v="4216"/>
    <n v="57"/>
    <n v="65"/>
    <n v="87"/>
    <n v="78"/>
    <n v="87"/>
    <n v="87"/>
    <n v="75"/>
    <n v="700"/>
    <n v="536"/>
    <n v="0.76571428571428568"/>
    <s v="B"/>
    <x v="0"/>
  </r>
  <r>
    <x v="7"/>
    <d v="2026-01-01T00:00:00"/>
    <x v="1"/>
    <n v="4217"/>
    <n v="96"/>
    <n v="67"/>
    <n v="89"/>
    <n v="89"/>
    <n v="82"/>
    <n v="89"/>
    <n v="66"/>
    <n v="700"/>
    <n v="578"/>
    <n v="0.82571428571428573"/>
    <s v="B"/>
    <x v="0"/>
  </r>
  <r>
    <x v="8"/>
    <d v="2026-01-01T00:00:00"/>
    <x v="1"/>
    <n v="4218"/>
    <n v="51"/>
    <n v="69"/>
    <n v="84"/>
    <n v="94"/>
    <n v="89"/>
    <n v="98"/>
    <n v="89"/>
    <n v="700"/>
    <n v="574"/>
    <n v="0.82"/>
    <s v="B"/>
    <x v="0"/>
  </r>
  <r>
    <x v="9"/>
    <d v="2026-01-01T00:00:00"/>
    <x v="1"/>
    <n v="4219"/>
    <n v="23"/>
    <n v="67"/>
    <n v="44"/>
    <n v="33"/>
    <n v="87"/>
    <n v="55"/>
    <n v="69"/>
    <n v="700"/>
    <n v="378"/>
    <n v="0.54"/>
    <s v="C"/>
    <x v="1"/>
  </r>
  <r>
    <x v="10"/>
    <d v="2026-01-01T00:00:00"/>
    <x v="1"/>
    <n v="4220"/>
    <n v="26"/>
    <n v="54"/>
    <n v="57"/>
    <n v="23"/>
    <n v="58"/>
    <n v="66"/>
    <n v="76"/>
    <n v="700"/>
    <n v="360"/>
    <n v="0.51428571428571423"/>
    <s v="C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4:D17" firstHeaderRow="1" firstDataRow="2" firstDataCol="1" rowPageCount="2" colPageCount="1"/>
  <pivotFields count="16">
    <pivotField axis="axisRow" showAll="0">
      <items count="12">
        <item x="10"/>
        <item x="9"/>
        <item x="4"/>
        <item x="3"/>
        <item x="5"/>
        <item x="0"/>
        <item x="1"/>
        <item x="8"/>
        <item x="2"/>
        <item x="6"/>
        <item x="7"/>
        <item t="default"/>
      </items>
    </pivotField>
    <pivotField numFmtId="14"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numFmtId="10" showAll="0"/>
    <pivotField showAll="0"/>
    <pivotField axis="axisPage" showAll="0">
      <items count="3">
        <item x="1"/>
        <item x="0"/>
        <item t="default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2" hier="-1"/>
    <pageField fld="15" hier="-1"/>
  </pageFields>
  <dataFields count="3">
    <dataField name="Sum of TOTAL MARKS" fld="11" baseField="0" baseItem="0"/>
    <dataField name="Sum of OBTAINED MARKS" fld="12" baseField="0" baseItem="0"/>
    <dataField name="Average of PERCENTAGE" fld="13" subtotal="average" baseField="0" baseItem="0" numFmtId="10"/>
  </dataFields>
  <formats count="25">
    <format dxfId="49">
      <pivotArea type="origin" dataOnly="0" labelOnly="1" outline="0" fieldPosition="0"/>
    </format>
    <format dxfId="48">
      <pivotArea field="0" type="button" dataOnly="0" labelOnly="1" outline="0" axis="axisRow" fieldPosition="0"/>
    </format>
    <format dxfId="47">
      <pivotArea field="-2" type="button" dataOnly="0" labelOnly="1" outline="0" axis="axisCol" fieldPosition="0"/>
    </format>
    <format dxfId="46">
      <pivotArea type="topRight" dataOnly="0" labelOnly="1" outline="0" fieldPosition="0"/>
    </format>
    <format dxfId="4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4">
      <pivotArea type="origin" dataOnly="0" labelOnly="1" outline="0" fieldPosition="0"/>
    </format>
    <format dxfId="43">
      <pivotArea field="0" type="button" dataOnly="0" labelOnly="1" outline="0" axis="axisRow" fieldPosition="0"/>
    </format>
    <format dxfId="42">
      <pivotArea field="-2" type="button" dataOnly="0" labelOnly="1" outline="0" axis="axisCol" fieldPosition="0"/>
    </format>
    <format dxfId="41">
      <pivotArea type="topRight" dataOnly="0" labelOnly="1" outline="0" fieldPosition="0"/>
    </format>
    <format dxfId="4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9">
      <pivotArea type="origin" dataOnly="0" labelOnly="1" outline="0" fieldPosition="0"/>
    </format>
    <format dxfId="38">
      <pivotArea field="0" type="button" dataOnly="0" labelOnly="1" outline="0" axis="axisRow" fieldPosition="0"/>
    </format>
    <format dxfId="37">
      <pivotArea field="-2" type="button" dataOnly="0" labelOnly="1" outline="0" axis="axisCol" fieldPosition="0"/>
    </format>
    <format dxfId="36">
      <pivotArea type="topRight" dataOnly="0" labelOnly="1" outline="0" fieldPosition="0"/>
    </format>
    <format dxfId="3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">
      <pivotArea collapsedLevelsAreSubtotals="1" fieldPosition="0">
        <references count="1">
          <reference field="0" count="0"/>
        </references>
      </pivotArea>
    </format>
    <format dxfId="33">
      <pivotArea dataOnly="0" labelOnly="1" fieldPosition="0">
        <references count="1">
          <reference field="0" count="0"/>
        </references>
      </pivotArea>
    </format>
    <format dxfId="32">
      <pivotArea collapsedLevelsAreSubtotals="1" fieldPosition="0">
        <references count="1">
          <reference field="0" count="0"/>
        </references>
      </pivotArea>
    </format>
    <format dxfId="31">
      <pivotArea dataOnly="0" labelOnly="1" fieldPosition="0">
        <references count="1">
          <reference field="0" count="0"/>
        </references>
      </pivotArea>
    </format>
    <format dxfId="30">
      <pivotArea collapsedLevelsAreSubtotals="1" fieldPosition="0">
        <references count="1">
          <reference field="0" count="0"/>
        </references>
      </pivotArea>
    </format>
    <format dxfId="29">
      <pivotArea dataOnly="0" labelOnly="1" fieldPosition="0">
        <references count="1">
          <reference field="0" count="0"/>
        </references>
      </pivotArea>
    </format>
    <format dxfId="28">
      <pivotArea collapsedLevelsAreSubtotals="1" fieldPosition="0">
        <references count="1">
          <reference field="0" count="0"/>
        </references>
      </pivotArea>
    </format>
    <format dxfId="27">
      <pivotArea dataOnly="0" labelOnly="1" fieldPosition="0">
        <references count="1">
          <reference field="0" count="0"/>
        </references>
      </pivotArea>
    </format>
    <format dxfId="26">
      <pivotArea collapsedLevelsAreSubtotals="1" fieldPosition="0">
        <references count="1">
          <reference field="0" count="0"/>
        </references>
      </pivotArea>
    </format>
    <format dxfId="25">
      <pivotArea dataOnly="0" labelOnly="1" fieldPosition="0">
        <references count="1">
          <reference field="0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>
      <selection activeCell="M13" sqref="M13"/>
    </sheetView>
  </sheetViews>
  <sheetFormatPr defaultRowHeight="15"/>
  <cols>
    <col min="1" max="1" width="14" bestFit="1" customWidth="1"/>
    <col min="2" max="2" width="16.5703125" customWidth="1"/>
    <col min="3" max="3" width="19.140625" customWidth="1"/>
    <col min="4" max="4" width="18.7109375" customWidth="1"/>
    <col min="5" max="5" width="19.42578125" customWidth="1"/>
    <col min="6" max="9" width="15.28515625" bestFit="1" customWidth="1"/>
  </cols>
  <sheetData>
    <row r="1" spans="1:12">
      <c r="A1" s="2" t="s">
        <v>2</v>
      </c>
      <c r="B1" t="s">
        <v>43</v>
      </c>
    </row>
    <row r="2" spans="1:12">
      <c r="A2" s="2" t="s">
        <v>14</v>
      </c>
      <c r="B2" t="s">
        <v>43</v>
      </c>
    </row>
    <row r="3" spans="1:12">
      <c r="F3" s="23" t="s">
        <v>46</v>
      </c>
      <c r="G3" s="23"/>
      <c r="H3" s="23"/>
      <c r="I3" s="23"/>
      <c r="J3" s="23"/>
      <c r="K3" s="23"/>
    </row>
    <row r="4" spans="1:12">
      <c r="A4" s="17"/>
      <c r="B4" s="17" t="s">
        <v>41</v>
      </c>
      <c r="C4" s="17"/>
      <c r="D4" s="17"/>
      <c r="F4" s="23"/>
      <c r="G4" s="23"/>
      <c r="H4" s="23"/>
      <c r="I4" s="23"/>
      <c r="J4" s="23"/>
      <c r="K4" s="23"/>
    </row>
    <row r="5" spans="1:12">
      <c r="A5" s="17" t="s">
        <v>38</v>
      </c>
      <c r="B5" s="17" t="s">
        <v>42</v>
      </c>
      <c r="C5" s="17" t="s">
        <v>40</v>
      </c>
      <c r="D5" s="17" t="s">
        <v>44</v>
      </c>
    </row>
    <row r="6" spans="1:12" ht="23.25">
      <c r="A6" s="18" t="s">
        <v>26</v>
      </c>
      <c r="B6" s="19">
        <v>700</v>
      </c>
      <c r="C6" s="19">
        <v>360</v>
      </c>
      <c r="D6" s="20">
        <v>0.51428571428571423</v>
      </c>
      <c r="G6" s="21" t="s">
        <v>47</v>
      </c>
      <c r="H6" s="22"/>
      <c r="I6" s="22"/>
      <c r="J6" s="22"/>
      <c r="K6" s="22"/>
      <c r="L6" s="22"/>
    </row>
    <row r="7" spans="1:12">
      <c r="A7" s="18" t="s">
        <v>25</v>
      </c>
      <c r="B7" s="19">
        <v>700</v>
      </c>
      <c r="C7" s="19">
        <v>378</v>
      </c>
      <c r="D7" s="20">
        <v>0.54</v>
      </c>
    </row>
    <row r="8" spans="1:12">
      <c r="A8" s="18" t="s">
        <v>20</v>
      </c>
      <c r="B8" s="19">
        <v>700</v>
      </c>
      <c r="C8" s="19">
        <v>477</v>
      </c>
      <c r="D8" s="20">
        <v>0.68142857142857138</v>
      </c>
    </row>
    <row r="9" spans="1:12">
      <c r="A9" s="18" t="s">
        <v>19</v>
      </c>
      <c r="B9" s="19">
        <v>700</v>
      </c>
      <c r="C9" s="19">
        <v>390</v>
      </c>
      <c r="D9" s="20">
        <v>0.55714285714285716</v>
      </c>
    </row>
    <row r="10" spans="1:12">
      <c r="A10" s="18" t="s">
        <v>23</v>
      </c>
      <c r="B10" s="19">
        <v>700</v>
      </c>
      <c r="C10" s="19">
        <v>366</v>
      </c>
      <c r="D10" s="20">
        <v>0.52285714285714291</v>
      </c>
    </row>
    <row r="11" spans="1:12">
      <c r="A11" s="18" t="s">
        <v>16</v>
      </c>
      <c r="B11" s="19">
        <v>700</v>
      </c>
      <c r="C11" s="19">
        <v>422</v>
      </c>
      <c r="D11" s="20">
        <v>0.60285714285714287</v>
      </c>
    </row>
    <row r="12" spans="1:12">
      <c r="A12" s="18" t="s">
        <v>17</v>
      </c>
      <c r="B12" s="19">
        <v>700</v>
      </c>
      <c r="C12" s="19">
        <v>620</v>
      </c>
      <c r="D12" s="20">
        <v>0.88571428571428568</v>
      </c>
    </row>
    <row r="13" spans="1:12">
      <c r="A13" s="18" t="s">
        <v>24</v>
      </c>
      <c r="B13" s="19">
        <v>700</v>
      </c>
      <c r="C13" s="19">
        <v>574</v>
      </c>
      <c r="D13" s="20">
        <v>0.82</v>
      </c>
    </row>
    <row r="14" spans="1:12">
      <c r="A14" s="18" t="s">
        <v>18</v>
      </c>
      <c r="B14" s="19">
        <v>700</v>
      </c>
      <c r="C14" s="19">
        <v>596.5</v>
      </c>
      <c r="D14" s="20">
        <v>0.85214285714285709</v>
      </c>
    </row>
    <row r="15" spans="1:12">
      <c r="A15" s="18" t="s">
        <v>21</v>
      </c>
      <c r="B15" s="19">
        <v>700</v>
      </c>
      <c r="C15" s="19">
        <v>536</v>
      </c>
      <c r="D15" s="20">
        <v>0.76571428571428568</v>
      </c>
    </row>
    <row r="16" spans="1:12">
      <c r="A16" s="18" t="s">
        <v>22</v>
      </c>
      <c r="B16" s="19">
        <v>700</v>
      </c>
      <c r="C16" s="19">
        <v>578</v>
      </c>
      <c r="D16" s="20">
        <v>0.82571428571428573</v>
      </c>
    </row>
    <row r="17" spans="1:4">
      <c r="A17" s="3" t="s">
        <v>39</v>
      </c>
      <c r="B17" s="4">
        <v>7700</v>
      </c>
      <c r="C17" s="4">
        <v>5297.5</v>
      </c>
      <c r="D17" s="1">
        <v>0.68798701298701304</v>
      </c>
    </row>
  </sheetData>
  <mergeCells count="2">
    <mergeCell ref="F3:K4"/>
    <mergeCell ref="G6:L6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D2:S24"/>
  <sheetViews>
    <sheetView topLeftCell="C1" workbookViewId="0">
      <selection activeCell="I12" sqref="I12"/>
    </sheetView>
  </sheetViews>
  <sheetFormatPr defaultRowHeight="15"/>
  <cols>
    <col min="3" max="3" width="3" customWidth="1"/>
    <col min="5" max="5" width="9.5703125" bestFit="1" customWidth="1"/>
    <col min="6" max="6" width="8" customWidth="1"/>
    <col min="7" max="7" width="9.28515625" bestFit="1" customWidth="1"/>
    <col min="8" max="8" width="11" bestFit="1" customWidth="1"/>
    <col min="9" max="9" width="8.42578125" customWidth="1"/>
    <col min="10" max="10" width="8" customWidth="1"/>
    <col min="11" max="11" width="6.140625" bestFit="1" customWidth="1"/>
    <col min="12" max="12" width="9.28515625" bestFit="1" customWidth="1"/>
    <col min="13" max="13" width="8.85546875" customWidth="1"/>
    <col min="14" max="14" width="8.7109375" customWidth="1"/>
    <col min="15" max="15" width="13.5703125" bestFit="1" customWidth="1"/>
    <col min="16" max="16" width="17.140625" bestFit="1" customWidth="1"/>
    <col min="17" max="17" width="12.5703125" bestFit="1" customWidth="1"/>
    <col min="18" max="18" width="7.5703125" customWidth="1"/>
  </cols>
  <sheetData>
    <row r="2" spans="4:19" ht="50.1" customHeight="1">
      <c r="D2" s="16" t="s">
        <v>45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4:19" s="14" customFormat="1">
      <c r="D3" s="15" t="s">
        <v>0</v>
      </c>
      <c r="E3" s="15" t="s">
        <v>1</v>
      </c>
      <c r="F3" s="15" t="s">
        <v>2</v>
      </c>
      <c r="G3" s="15" t="s">
        <v>3</v>
      </c>
      <c r="H3" s="15" t="s">
        <v>4</v>
      </c>
      <c r="I3" s="15" t="s">
        <v>5</v>
      </c>
      <c r="J3" s="15" t="s">
        <v>6</v>
      </c>
      <c r="K3" s="15" t="s">
        <v>7</v>
      </c>
      <c r="L3" s="15" t="s">
        <v>15</v>
      </c>
      <c r="M3" s="15" t="s">
        <v>9</v>
      </c>
      <c r="N3" s="15" t="s">
        <v>8</v>
      </c>
      <c r="O3" s="15" t="s">
        <v>10</v>
      </c>
      <c r="P3" s="15" t="s">
        <v>11</v>
      </c>
      <c r="Q3" s="15" t="s">
        <v>12</v>
      </c>
      <c r="R3" s="15" t="s">
        <v>13</v>
      </c>
      <c r="S3" s="15" t="s">
        <v>14</v>
      </c>
    </row>
    <row r="4" spans="4:19" ht="18">
      <c r="D4" s="8" t="s">
        <v>16</v>
      </c>
      <c r="E4" s="9">
        <v>46023</v>
      </c>
      <c r="F4" s="10" t="s">
        <v>28</v>
      </c>
      <c r="G4" s="10">
        <v>4210</v>
      </c>
      <c r="H4" s="10">
        <v>55</v>
      </c>
      <c r="I4" s="10">
        <v>45</v>
      </c>
      <c r="J4" s="10">
        <v>77</v>
      </c>
      <c r="K4" s="10">
        <v>87</v>
      </c>
      <c r="L4" s="10">
        <v>25</v>
      </c>
      <c r="M4" s="10">
        <v>89</v>
      </c>
      <c r="N4" s="10">
        <v>44</v>
      </c>
      <c r="O4" s="10">
        <v>700</v>
      </c>
      <c r="P4" s="10">
        <f>SUM(H4:N4)</f>
        <v>422</v>
      </c>
      <c r="Q4" s="11">
        <f>P4/O4</f>
        <v>0.60285714285714287</v>
      </c>
      <c r="R4" s="10" t="str">
        <f>IF(Q4&gt;=85%,"A+",IF(Q4&gt;=75%,"B",IF(Q4&gt;=50%,"C","F")))</f>
        <v>C</v>
      </c>
      <c r="S4" s="12" t="str">
        <f>IF(P4&gt;400,"PASS","FAIL")</f>
        <v>PASS</v>
      </c>
    </row>
    <row r="5" spans="4:19" ht="18">
      <c r="D5" s="8" t="s">
        <v>17</v>
      </c>
      <c r="E5" s="9">
        <v>46023</v>
      </c>
      <c r="F5" s="10" t="s">
        <v>27</v>
      </c>
      <c r="G5" s="10">
        <v>4211</v>
      </c>
      <c r="H5" s="10">
        <v>88</v>
      </c>
      <c r="I5" s="10">
        <v>78</v>
      </c>
      <c r="J5" s="10">
        <v>88</v>
      </c>
      <c r="K5" s="10">
        <v>84</v>
      </c>
      <c r="L5" s="10">
        <v>87</v>
      </c>
      <c r="M5" s="10">
        <v>98</v>
      </c>
      <c r="N5" s="10">
        <v>97</v>
      </c>
      <c r="O5" s="10">
        <v>700</v>
      </c>
      <c r="P5" s="10">
        <f t="shared" ref="P5:P14" si="0">SUM(H5:N5)</f>
        <v>620</v>
      </c>
      <c r="Q5" s="11">
        <f t="shared" ref="Q5:Q14" si="1">P5/O5</f>
        <v>0.88571428571428568</v>
      </c>
      <c r="R5" s="10" t="str">
        <f t="shared" ref="R5:R14" si="2">IF(Q5&gt;=85%,"A+",IF(Q5&gt;=75%,"B",IF(Q5&gt;=50%,"C","F")))</f>
        <v>A+</v>
      </c>
      <c r="S5" s="12" t="str">
        <f t="shared" ref="S5:S14" si="3">IF(P5&gt;400,"PASS","FAIL")</f>
        <v>PASS</v>
      </c>
    </row>
    <row r="6" spans="4:19" ht="18">
      <c r="D6" s="8" t="s">
        <v>18</v>
      </c>
      <c r="E6" s="9">
        <v>46023</v>
      </c>
      <c r="F6" s="10" t="s">
        <v>27</v>
      </c>
      <c r="G6" s="10">
        <v>4212</v>
      </c>
      <c r="H6" s="10">
        <v>99</v>
      </c>
      <c r="I6" s="10">
        <v>82</v>
      </c>
      <c r="J6" s="10">
        <v>74</v>
      </c>
      <c r="K6" s="10">
        <v>89</v>
      </c>
      <c r="L6" s="10">
        <v>90</v>
      </c>
      <c r="M6" s="10">
        <v>90</v>
      </c>
      <c r="N6" s="10">
        <v>72.5</v>
      </c>
      <c r="O6" s="10">
        <v>700</v>
      </c>
      <c r="P6" s="10">
        <f t="shared" si="0"/>
        <v>596.5</v>
      </c>
      <c r="Q6" s="11">
        <f t="shared" si="1"/>
        <v>0.85214285714285709</v>
      </c>
      <c r="R6" s="10" t="str">
        <f t="shared" si="2"/>
        <v>A+</v>
      </c>
      <c r="S6" s="12" t="str">
        <f t="shared" si="3"/>
        <v>PASS</v>
      </c>
    </row>
    <row r="7" spans="4:19" ht="18">
      <c r="D7" s="8" t="s">
        <v>19</v>
      </c>
      <c r="E7" s="9">
        <v>46023</v>
      </c>
      <c r="F7" s="10" t="s">
        <v>27</v>
      </c>
      <c r="G7" s="10">
        <v>4213</v>
      </c>
      <c r="H7" s="10">
        <v>43</v>
      </c>
      <c r="I7" s="10">
        <v>57</v>
      </c>
      <c r="J7" s="10">
        <v>83</v>
      </c>
      <c r="K7" s="10">
        <v>56</v>
      </c>
      <c r="L7" s="10">
        <v>54</v>
      </c>
      <c r="M7" s="10">
        <v>23</v>
      </c>
      <c r="N7" s="10">
        <v>74</v>
      </c>
      <c r="O7" s="10">
        <v>700</v>
      </c>
      <c r="P7" s="10">
        <f t="shared" si="0"/>
        <v>390</v>
      </c>
      <c r="Q7" s="11">
        <f t="shared" si="1"/>
        <v>0.55714285714285716</v>
      </c>
      <c r="R7" s="10" t="str">
        <f t="shared" si="2"/>
        <v>C</v>
      </c>
      <c r="S7" s="13" t="str">
        <f t="shared" si="3"/>
        <v>FAIL</v>
      </c>
    </row>
    <row r="8" spans="4:19" ht="18">
      <c r="D8" s="8" t="s">
        <v>20</v>
      </c>
      <c r="E8" s="9">
        <v>46023</v>
      </c>
      <c r="F8" s="10" t="s">
        <v>27</v>
      </c>
      <c r="G8" s="10">
        <v>4214</v>
      </c>
      <c r="H8" s="10">
        <v>23</v>
      </c>
      <c r="I8" s="10">
        <v>75</v>
      </c>
      <c r="J8" s="10">
        <v>85</v>
      </c>
      <c r="K8" s="10">
        <v>67</v>
      </c>
      <c r="L8" s="10">
        <v>89</v>
      </c>
      <c r="M8" s="10">
        <v>54</v>
      </c>
      <c r="N8" s="10">
        <v>84</v>
      </c>
      <c r="O8" s="10">
        <v>700</v>
      </c>
      <c r="P8" s="10">
        <f t="shared" si="0"/>
        <v>477</v>
      </c>
      <c r="Q8" s="11">
        <f t="shared" si="1"/>
        <v>0.68142857142857138</v>
      </c>
      <c r="R8" s="10" t="str">
        <f t="shared" si="2"/>
        <v>C</v>
      </c>
      <c r="S8" s="12" t="str">
        <f t="shared" si="3"/>
        <v>PASS</v>
      </c>
    </row>
    <row r="9" spans="4:19" ht="18">
      <c r="D9" s="8" t="s">
        <v>23</v>
      </c>
      <c r="E9" s="9">
        <v>46023</v>
      </c>
      <c r="F9" s="10" t="s">
        <v>27</v>
      </c>
      <c r="G9" s="10">
        <v>4215</v>
      </c>
      <c r="H9" s="10">
        <v>24</v>
      </c>
      <c r="I9" s="10">
        <v>25</v>
      </c>
      <c r="J9" s="10">
        <v>66</v>
      </c>
      <c r="K9" s="10">
        <v>76</v>
      </c>
      <c r="L9" s="10">
        <v>33</v>
      </c>
      <c r="M9" s="10">
        <v>85</v>
      </c>
      <c r="N9" s="10">
        <v>57</v>
      </c>
      <c r="O9" s="10">
        <v>700</v>
      </c>
      <c r="P9" s="10">
        <f t="shared" si="0"/>
        <v>366</v>
      </c>
      <c r="Q9" s="11">
        <f t="shared" si="1"/>
        <v>0.52285714285714291</v>
      </c>
      <c r="R9" s="10" t="str">
        <f t="shared" si="2"/>
        <v>C</v>
      </c>
      <c r="S9" s="13" t="str">
        <f t="shared" si="3"/>
        <v>FAIL</v>
      </c>
    </row>
    <row r="10" spans="4:19" ht="18">
      <c r="D10" s="8" t="s">
        <v>21</v>
      </c>
      <c r="E10" s="9">
        <v>46023</v>
      </c>
      <c r="F10" s="10" t="s">
        <v>27</v>
      </c>
      <c r="G10" s="10">
        <v>4216</v>
      </c>
      <c r="H10" s="10">
        <v>57</v>
      </c>
      <c r="I10" s="10">
        <v>65</v>
      </c>
      <c r="J10" s="10">
        <v>87</v>
      </c>
      <c r="K10" s="10">
        <v>78</v>
      </c>
      <c r="L10" s="10">
        <v>87</v>
      </c>
      <c r="M10" s="10">
        <v>87</v>
      </c>
      <c r="N10" s="10">
        <v>75</v>
      </c>
      <c r="O10" s="10">
        <v>700</v>
      </c>
      <c r="P10" s="10">
        <f t="shared" si="0"/>
        <v>536</v>
      </c>
      <c r="Q10" s="11">
        <f t="shared" si="1"/>
        <v>0.76571428571428568</v>
      </c>
      <c r="R10" s="10" t="str">
        <f t="shared" si="2"/>
        <v>B</v>
      </c>
      <c r="S10" s="12" t="str">
        <f t="shared" si="3"/>
        <v>PASS</v>
      </c>
    </row>
    <row r="11" spans="4:19" ht="18">
      <c r="D11" s="8" t="s">
        <v>22</v>
      </c>
      <c r="E11" s="9">
        <v>46023</v>
      </c>
      <c r="F11" s="10" t="s">
        <v>27</v>
      </c>
      <c r="G11" s="10">
        <v>4217</v>
      </c>
      <c r="H11" s="10">
        <v>96</v>
      </c>
      <c r="I11" s="10">
        <v>67</v>
      </c>
      <c r="J11" s="10">
        <v>89</v>
      </c>
      <c r="K11" s="10">
        <v>89</v>
      </c>
      <c r="L11" s="10">
        <v>82</v>
      </c>
      <c r="M11" s="10">
        <v>89</v>
      </c>
      <c r="N11" s="10">
        <v>66</v>
      </c>
      <c r="O11" s="10">
        <v>700</v>
      </c>
      <c r="P11" s="10">
        <f t="shared" si="0"/>
        <v>578</v>
      </c>
      <c r="Q11" s="11">
        <f t="shared" si="1"/>
        <v>0.82571428571428573</v>
      </c>
      <c r="R11" s="10" t="str">
        <f t="shared" si="2"/>
        <v>B</v>
      </c>
      <c r="S11" s="12" t="str">
        <f t="shared" si="3"/>
        <v>PASS</v>
      </c>
    </row>
    <row r="12" spans="4:19" ht="18">
      <c r="D12" s="8" t="s">
        <v>24</v>
      </c>
      <c r="E12" s="9">
        <v>46023</v>
      </c>
      <c r="F12" s="10" t="s">
        <v>27</v>
      </c>
      <c r="G12" s="10">
        <v>4218</v>
      </c>
      <c r="H12" s="10">
        <v>51</v>
      </c>
      <c r="I12" s="10">
        <v>69</v>
      </c>
      <c r="J12" s="10">
        <v>84</v>
      </c>
      <c r="K12" s="10">
        <v>94</v>
      </c>
      <c r="L12" s="10">
        <v>89</v>
      </c>
      <c r="M12" s="10">
        <v>98</v>
      </c>
      <c r="N12" s="10">
        <v>89</v>
      </c>
      <c r="O12" s="10">
        <v>700</v>
      </c>
      <c r="P12" s="10">
        <f t="shared" si="0"/>
        <v>574</v>
      </c>
      <c r="Q12" s="11">
        <f t="shared" si="1"/>
        <v>0.82</v>
      </c>
      <c r="R12" s="10" t="str">
        <f t="shared" si="2"/>
        <v>B</v>
      </c>
      <c r="S12" s="12" t="str">
        <f t="shared" si="3"/>
        <v>PASS</v>
      </c>
    </row>
    <row r="13" spans="4:19" ht="18">
      <c r="D13" s="8" t="s">
        <v>25</v>
      </c>
      <c r="E13" s="9">
        <v>46023</v>
      </c>
      <c r="F13" s="10" t="s">
        <v>27</v>
      </c>
      <c r="G13" s="10">
        <v>4219</v>
      </c>
      <c r="H13" s="10">
        <v>23</v>
      </c>
      <c r="I13" s="10">
        <v>67</v>
      </c>
      <c r="J13" s="10">
        <v>44</v>
      </c>
      <c r="K13" s="10">
        <v>33</v>
      </c>
      <c r="L13" s="10">
        <v>87</v>
      </c>
      <c r="M13" s="10">
        <v>55</v>
      </c>
      <c r="N13" s="10">
        <v>69</v>
      </c>
      <c r="O13" s="10">
        <v>700</v>
      </c>
      <c r="P13" s="10">
        <f t="shared" si="0"/>
        <v>378</v>
      </c>
      <c r="Q13" s="11">
        <f t="shared" si="1"/>
        <v>0.54</v>
      </c>
      <c r="R13" s="10" t="str">
        <f t="shared" si="2"/>
        <v>C</v>
      </c>
      <c r="S13" s="13" t="str">
        <f>IF(P13&gt;400,"PASS","FAIL")</f>
        <v>FAIL</v>
      </c>
    </row>
    <row r="14" spans="4:19" ht="18">
      <c r="D14" s="8" t="s">
        <v>26</v>
      </c>
      <c r="E14" s="9">
        <v>46023</v>
      </c>
      <c r="F14" s="10" t="s">
        <v>27</v>
      </c>
      <c r="G14" s="10">
        <v>4220</v>
      </c>
      <c r="H14" s="10">
        <v>26</v>
      </c>
      <c r="I14" s="10">
        <v>54</v>
      </c>
      <c r="J14" s="10">
        <v>57</v>
      </c>
      <c r="K14" s="10">
        <v>23</v>
      </c>
      <c r="L14" s="10">
        <v>58</v>
      </c>
      <c r="M14" s="10">
        <v>66</v>
      </c>
      <c r="N14" s="10">
        <v>76</v>
      </c>
      <c r="O14" s="10">
        <v>700</v>
      </c>
      <c r="P14" s="10">
        <f t="shared" si="0"/>
        <v>360</v>
      </c>
      <c r="Q14" s="11">
        <f t="shared" si="1"/>
        <v>0.51428571428571423</v>
      </c>
      <c r="R14" s="10" t="str">
        <f t="shared" si="2"/>
        <v>C</v>
      </c>
      <c r="S14" s="13" t="str">
        <f t="shared" si="3"/>
        <v>FAIL</v>
      </c>
    </row>
    <row r="15" spans="4:19">
      <c r="S15" s="5"/>
    </row>
    <row r="17" spans="16:18">
      <c r="P17" s="6" t="s">
        <v>29</v>
      </c>
      <c r="Q17" s="6"/>
    </row>
    <row r="18" spans="16:18">
      <c r="P18" s="7" t="s">
        <v>30</v>
      </c>
      <c r="Q18" s="7">
        <f>AVERAGE(P4:P14)</f>
        <v>481.59090909090907</v>
      </c>
    </row>
    <row r="19" spans="16:18">
      <c r="P19" s="7" t="s">
        <v>31</v>
      </c>
      <c r="Q19" s="7">
        <f>MIN(P4:P14)</f>
        <v>360</v>
      </c>
    </row>
    <row r="20" spans="16:18">
      <c r="P20" s="7" t="s">
        <v>32</v>
      </c>
      <c r="Q20" s="7">
        <f>MAX(P4:P14)</f>
        <v>620</v>
      </c>
    </row>
    <row r="21" spans="16:18">
      <c r="P21" s="7" t="s">
        <v>33</v>
      </c>
      <c r="Q21" s="7">
        <f>VLOOKUP(D6,D3:S14,5,FALSE)</f>
        <v>99</v>
      </c>
    </row>
    <row r="22" spans="16:18">
      <c r="P22" s="7" t="s">
        <v>34</v>
      </c>
      <c r="Q22" s="7">
        <f>SUMIF(R4:R14,"fail",S4:S14)</f>
        <v>0</v>
      </c>
      <c r="R22" t="s">
        <v>37</v>
      </c>
    </row>
    <row r="23" spans="16:18">
      <c r="P23" s="7" t="s">
        <v>35</v>
      </c>
      <c r="Q23" s="7">
        <f>COUNTIF(S4:S14,"pass")</f>
        <v>7</v>
      </c>
    </row>
    <row r="24" spans="16:18">
      <c r="P24" s="7" t="s">
        <v>36</v>
      </c>
      <c r="Q24" s="7">
        <f>COUNTA(S4:S14)</f>
        <v>11</v>
      </c>
    </row>
  </sheetData>
  <mergeCells count="2">
    <mergeCell ref="P17:Q17"/>
    <mergeCell ref="D2:S2"/>
  </mergeCells>
  <dataValidations count="1">
    <dataValidation type="date" errorStyle="warning" allowBlank="1" showInputMessage="1" showErrorMessage="1" errorTitle="WRONG NUMBER" error="YOU HAVE TO WRITE ONLY DATE " promptTitle="INSTRUCTION" prompt="YOU HAVE TO WRITE ONLY DATE&#10;" sqref="E4:E14">
      <formula1>46023</formula1>
      <formula2>46027</formula2>
    </dataValidation>
  </dataValidations>
  <pageMargins left="0" right="0" top="0.5" bottom="0.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Sheet2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2026-01-27T14:45:15Z</dcterms:created>
  <dcterms:modified xsi:type="dcterms:W3CDTF">2026-01-27T17:00:32Z</dcterms:modified>
</cp:coreProperties>
</file>